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s_CostValue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111827"/>
    </font>
    <font>
      <color rgb="000000FF"/>
    </font>
    <font>
      <color rgb="00000000"/>
    </font>
    <font>
      <color rgb="00374151"/>
    </font>
    <font>
      <b val="1"/>
      <color rgb="00FFFFFF"/>
    </font>
    <font>
      <color rgb="00008000"/>
    </font>
    <font>
      <b val="1"/>
      <color rgb="00111827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Cost vs Expected Value (through operations)</a:t>
            </a:r>
          </a:p>
        </rich>
      </tx>
    </title>
    <plotArea>
      <lineChart>
        <grouping val="standard"/>
        <ser>
          <idx val="0"/>
          <order val="0"/>
          <tx>
            <strRef>
              <f>'Ops_CostValue'!D1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'Ops_CostValue'!$A$2:$A$25</f>
            </numRef>
          </cat>
          <val>
            <numRef>
              <f>'Ops_CostValue'!$D$2:$D$25</f>
            </numRef>
          </val>
        </ser>
        <ser>
          <idx val="1"/>
          <order val="1"/>
          <tx>
            <strRef>
              <f>'Ops_CostValue'!H1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'Ops_CostValue'!$A$2:$A$25</f>
            </numRef>
          </cat>
          <val>
            <numRef>
              <f>'Ops_CostValue'!$H$2:$H$25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Risk-Weighted Exposure by Operation = (1-pᵢ) * Cᵢ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'Ops_CostValue'!L1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'Ops_CostValue'!$A$2:$A$25</f>
            </numRef>
          </cat>
          <val>
            <numRef>
              <f>'Ops_CostValue'!$L$2:$L$25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Operation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Exposure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" customWidth="1" min="3" max="3"/>
    <col width="52" customWidth="1" min="4" max="4"/>
  </cols>
  <sheetData>
    <row r="1">
      <c r="A1" s="1" t="inlineStr">
        <is>
          <t>Batch Value &amp; Cost Mapping — Inputs</t>
        </is>
      </c>
    </row>
    <row r="2">
      <c r="A2" s="2" t="inlineStr">
        <is>
          <t>Revenue per unit ($)</t>
        </is>
      </c>
      <c r="B2" s="3" t="n">
        <v>40</v>
      </c>
      <c r="D2" s="4" t="inlineStr">
        <is>
          <t>How to use</t>
        </is>
      </c>
    </row>
    <row r="3">
      <c r="A3" s="2" t="inlineStr">
        <is>
          <t>Total COGS per unit ($)</t>
        </is>
      </c>
      <c r="B3" s="3" t="n">
        <v>5.8</v>
      </c>
      <c r="D3" s="5" t="inlineStr">
        <is>
          <t>1) Set your revenue/COGS + batch size (blue cells).</t>
        </is>
      </c>
    </row>
    <row r="4">
      <c r="A4" s="2" t="inlineStr">
        <is>
          <t>Units per batch</t>
        </is>
      </c>
      <c r="B4" s="3" t="n">
        <v>1</v>
      </c>
      <c r="D4" s="5" t="inlineStr">
        <is>
          <t>2) In Ops_CostValue, fill incremental costs and survival probs.</t>
        </is>
      </c>
    </row>
    <row r="5">
      <c r="A5" s="2" t="inlineStr">
        <is>
          <t>Total revenue per batch ($)</t>
        </is>
      </c>
      <c r="B5" s="6">
        <f>B2*B4</f>
        <v/>
      </c>
      <c r="D5" s="5" t="inlineStr">
        <is>
          <t>3) Check Charts for the cost-vs-value curve + exposure hotspots.</t>
        </is>
      </c>
    </row>
    <row r="6">
      <c r="A6" s="2" t="inlineStr">
        <is>
          <t>Total COGS per batch ($)</t>
        </is>
      </c>
      <c r="B6" s="6">
        <f>B3*B4</f>
        <v/>
      </c>
    </row>
    <row r="7">
      <c r="A7" s="2" t="inlineStr">
        <is>
          <t>Number of operations</t>
        </is>
      </c>
      <c r="B7" s="3" t="n">
        <v>24</v>
      </c>
    </row>
    <row r="8">
      <c r="A8" s="2" t="inlineStr">
        <is>
          <t>Assumed default step survival pᵢ (used if blank)</t>
        </is>
      </c>
      <c r="B8" s="3" t="n">
        <v>0.99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20" customWidth="1" min="12" max="12"/>
    <col width="38" customWidth="1" min="13" max="13"/>
  </cols>
  <sheetData>
    <row r="1">
      <c r="A1" s="7" t="inlineStr">
        <is>
          <t>Op #</t>
        </is>
      </c>
      <c r="B1" s="7" t="inlineStr">
        <is>
          <t>Operation Name</t>
        </is>
      </c>
      <c r="C1" s="7" t="inlineStr">
        <is>
          <t>Incremental Cost cᵢ ($)</t>
        </is>
      </c>
      <c r="D1" s="7" t="inlineStr">
        <is>
          <t>Cumulative Cost Cᵢ ($)</t>
        </is>
      </c>
      <c r="E1" s="7" t="inlineStr">
        <is>
          <t>Step Survival pᵢ</t>
        </is>
      </c>
      <c r="F1" s="7" t="inlineStr">
        <is>
          <t>Cum Survival Sᵢ</t>
        </is>
      </c>
      <c r="G1" s="7" t="inlineStr">
        <is>
          <t>Final Value ($) [link]</t>
        </is>
      </c>
      <c r="H1" s="7" t="inlineStr">
        <is>
          <t>Expected Value EVᵢ ($)</t>
        </is>
      </c>
      <c r="I1" s="7" t="inlineStr">
        <is>
          <t>Expected Margin Mᵢ ($)</t>
        </is>
      </c>
      <c r="J1" s="7" t="inlineStr">
        <is>
          <t>Salvage Value ($) (optional)</t>
        </is>
      </c>
      <c r="K1" s="7" t="inlineStr">
        <is>
          <t>EV w/ Salvage ($) (optional)</t>
        </is>
      </c>
      <c r="L1" s="7" t="inlineStr">
        <is>
          <t>Exposure = (1-pᵢ)*Cᵢ ($)</t>
        </is>
      </c>
      <c r="M1" s="7" t="inlineStr">
        <is>
          <t>Notes / Failure modes / Controls</t>
        </is>
      </c>
    </row>
    <row r="2">
      <c r="A2" s="8" t="n">
        <v>1</v>
      </c>
      <c r="B2" s="9" t="inlineStr">
        <is>
          <t>Operation 1</t>
        </is>
      </c>
      <c r="C2" s="3">
        <f>Inputs!$B$6/Inputs!$B$7</f>
        <v/>
      </c>
      <c r="D2" s="6">
        <f>C2</f>
        <v/>
      </c>
      <c r="E2" s="3">
        <f>Inputs!$B$8</f>
        <v/>
      </c>
      <c r="F2" s="6">
        <f>E2</f>
        <v/>
      </c>
      <c r="G2" s="10">
        <f>Inputs!$B$5</f>
        <v/>
      </c>
      <c r="H2" s="6">
        <f>F2*G2</f>
        <v/>
      </c>
      <c r="I2" s="6">
        <f>H2-D2</f>
        <v/>
      </c>
      <c r="J2" s="3" t="n"/>
      <c r="K2" s="6">
        <f>H2 + (1-F2)*IF(J2="",0,J2)</f>
        <v/>
      </c>
      <c r="L2" s="6">
        <f>(1-E2)*D2</f>
        <v/>
      </c>
      <c r="M2" s="9" t="inlineStr"/>
    </row>
    <row r="3">
      <c r="A3" s="8" t="n">
        <v>2</v>
      </c>
      <c r="B3" s="9" t="inlineStr">
        <is>
          <t>Operation 2</t>
        </is>
      </c>
      <c r="C3" s="3">
        <f>Inputs!$B$6/Inputs!$B$7</f>
        <v/>
      </c>
      <c r="D3" s="6">
        <f>D2+C3</f>
        <v/>
      </c>
      <c r="E3" s="3">
        <f>Inputs!$B$8</f>
        <v/>
      </c>
      <c r="F3" s="6">
        <f>F2*E3</f>
        <v/>
      </c>
      <c r="G3" s="10">
        <f>Inputs!$B$5</f>
        <v/>
      </c>
      <c r="H3" s="6">
        <f>F3*G3</f>
        <v/>
      </c>
      <c r="I3" s="6">
        <f>H3-D3</f>
        <v/>
      </c>
      <c r="J3" s="3" t="n"/>
      <c r="K3" s="6">
        <f>H3 + (1-F3)*IF(J3="",0,J3)</f>
        <v/>
      </c>
      <c r="L3" s="6">
        <f>(1-E3)*D3</f>
        <v/>
      </c>
      <c r="M3" s="9" t="inlineStr"/>
    </row>
    <row r="4">
      <c r="A4" s="8" t="n">
        <v>3</v>
      </c>
      <c r="B4" s="9" t="inlineStr">
        <is>
          <t>Operation 3</t>
        </is>
      </c>
      <c r="C4" s="3">
        <f>Inputs!$B$6/Inputs!$B$7</f>
        <v/>
      </c>
      <c r="D4" s="6">
        <f>D3+C4</f>
        <v/>
      </c>
      <c r="E4" s="3">
        <f>Inputs!$B$8</f>
        <v/>
      </c>
      <c r="F4" s="6">
        <f>F3*E4</f>
        <v/>
      </c>
      <c r="G4" s="10">
        <f>Inputs!$B$5</f>
        <v/>
      </c>
      <c r="H4" s="6">
        <f>F4*G4</f>
        <v/>
      </c>
      <c r="I4" s="6">
        <f>H4-D4</f>
        <v/>
      </c>
      <c r="J4" s="3" t="n"/>
      <c r="K4" s="6">
        <f>H4 + (1-F4)*IF(J4="",0,J4)</f>
        <v/>
      </c>
      <c r="L4" s="6">
        <f>(1-E4)*D4</f>
        <v/>
      </c>
      <c r="M4" s="9" t="inlineStr"/>
    </row>
    <row r="5">
      <c r="A5" s="8" t="n">
        <v>4</v>
      </c>
      <c r="B5" s="9" t="inlineStr">
        <is>
          <t>Operation 4</t>
        </is>
      </c>
      <c r="C5" s="3">
        <f>Inputs!$B$6/Inputs!$B$7</f>
        <v/>
      </c>
      <c r="D5" s="6">
        <f>D4+C5</f>
        <v/>
      </c>
      <c r="E5" s="3">
        <f>Inputs!$B$8</f>
        <v/>
      </c>
      <c r="F5" s="6">
        <f>F4*E5</f>
        <v/>
      </c>
      <c r="G5" s="10">
        <f>Inputs!$B$5</f>
        <v/>
      </c>
      <c r="H5" s="6">
        <f>F5*G5</f>
        <v/>
      </c>
      <c r="I5" s="6">
        <f>H5-D5</f>
        <v/>
      </c>
      <c r="J5" s="3" t="n"/>
      <c r="K5" s="6">
        <f>H5 + (1-F5)*IF(J5="",0,J5)</f>
        <v/>
      </c>
      <c r="L5" s="6">
        <f>(1-E5)*D5</f>
        <v/>
      </c>
      <c r="M5" s="9" t="inlineStr"/>
    </row>
    <row r="6">
      <c r="A6" s="8" t="n">
        <v>5</v>
      </c>
      <c r="B6" s="9" t="inlineStr">
        <is>
          <t>Operation 5</t>
        </is>
      </c>
      <c r="C6" s="3">
        <f>Inputs!$B$6/Inputs!$B$7</f>
        <v/>
      </c>
      <c r="D6" s="6">
        <f>D5+C6</f>
        <v/>
      </c>
      <c r="E6" s="3">
        <f>Inputs!$B$8</f>
        <v/>
      </c>
      <c r="F6" s="6">
        <f>F5*E6</f>
        <v/>
      </c>
      <c r="G6" s="10">
        <f>Inputs!$B$5</f>
        <v/>
      </c>
      <c r="H6" s="6">
        <f>F6*G6</f>
        <v/>
      </c>
      <c r="I6" s="6">
        <f>H6-D6</f>
        <v/>
      </c>
      <c r="J6" s="3" t="n"/>
      <c r="K6" s="6">
        <f>H6 + (1-F6)*IF(J6="",0,J6)</f>
        <v/>
      </c>
      <c r="L6" s="6">
        <f>(1-E6)*D6</f>
        <v/>
      </c>
      <c r="M6" s="9" t="inlineStr"/>
    </row>
    <row r="7">
      <c r="A7" s="8" t="n">
        <v>6</v>
      </c>
      <c r="B7" s="9" t="inlineStr">
        <is>
          <t>Operation 6</t>
        </is>
      </c>
      <c r="C7" s="3">
        <f>Inputs!$B$6/Inputs!$B$7</f>
        <v/>
      </c>
      <c r="D7" s="6">
        <f>D6+C7</f>
        <v/>
      </c>
      <c r="E7" s="3">
        <f>Inputs!$B$8</f>
        <v/>
      </c>
      <c r="F7" s="6">
        <f>F6*E7</f>
        <v/>
      </c>
      <c r="G7" s="10">
        <f>Inputs!$B$5</f>
        <v/>
      </c>
      <c r="H7" s="6">
        <f>F7*G7</f>
        <v/>
      </c>
      <c r="I7" s="6">
        <f>H7-D7</f>
        <v/>
      </c>
      <c r="J7" s="3" t="n"/>
      <c r="K7" s="6">
        <f>H7 + (1-F7)*IF(J7="",0,J7)</f>
        <v/>
      </c>
      <c r="L7" s="6">
        <f>(1-E7)*D7</f>
        <v/>
      </c>
      <c r="M7" s="9" t="inlineStr"/>
    </row>
    <row r="8">
      <c r="A8" s="8" t="n">
        <v>7</v>
      </c>
      <c r="B8" s="9" t="inlineStr">
        <is>
          <t>Operation 7</t>
        </is>
      </c>
      <c r="C8" s="3">
        <f>Inputs!$B$6/Inputs!$B$7</f>
        <v/>
      </c>
      <c r="D8" s="6">
        <f>D7+C8</f>
        <v/>
      </c>
      <c r="E8" s="3">
        <f>Inputs!$B$8</f>
        <v/>
      </c>
      <c r="F8" s="6">
        <f>F7*E8</f>
        <v/>
      </c>
      <c r="G8" s="10">
        <f>Inputs!$B$5</f>
        <v/>
      </c>
      <c r="H8" s="6">
        <f>F8*G8</f>
        <v/>
      </c>
      <c r="I8" s="6">
        <f>H8-D8</f>
        <v/>
      </c>
      <c r="J8" s="3" t="n"/>
      <c r="K8" s="6">
        <f>H8 + (1-F8)*IF(J8="",0,J8)</f>
        <v/>
      </c>
      <c r="L8" s="6">
        <f>(1-E8)*D8</f>
        <v/>
      </c>
      <c r="M8" s="9" t="inlineStr"/>
    </row>
    <row r="9">
      <c r="A9" s="8" t="n">
        <v>8</v>
      </c>
      <c r="B9" s="9" t="inlineStr">
        <is>
          <t>Operation 8</t>
        </is>
      </c>
      <c r="C9" s="3">
        <f>Inputs!$B$6/Inputs!$B$7</f>
        <v/>
      </c>
      <c r="D9" s="6">
        <f>D8+C9</f>
        <v/>
      </c>
      <c r="E9" s="3">
        <f>Inputs!$B$8</f>
        <v/>
      </c>
      <c r="F9" s="6">
        <f>F8*E9</f>
        <v/>
      </c>
      <c r="G9" s="10">
        <f>Inputs!$B$5</f>
        <v/>
      </c>
      <c r="H9" s="6">
        <f>F9*G9</f>
        <v/>
      </c>
      <c r="I9" s="6">
        <f>H9-D9</f>
        <v/>
      </c>
      <c r="J9" s="3" t="n"/>
      <c r="K9" s="6">
        <f>H9 + (1-F9)*IF(J9="",0,J9)</f>
        <v/>
      </c>
      <c r="L9" s="6">
        <f>(1-E9)*D9</f>
        <v/>
      </c>
      <c r="M9" s="9" t="inlineStr"/>
    </row>
    <row r="10">
      <c r="A10" s="8" t="n">
        <v>9</v>
      </c>
      <c r="B10" s="9" t="inlineStr">
        <is>
          <t>Operation 9</t>
        </is>
      </c>
      <c r="C10" s="3">
        <f>Inputs!$B$6/Inputs!$B$7</f>
        <v/>
      </c>
      <c r="D10" s="6">
        <f>D9+C10</f>
        <v/>
      </c>
      <c r="E10" s="3">
        <f>Inputs!$B$8</f>
        <v/>
      </c>
      <c r="F10" s="6">
        <f>F9*E10</f>
        <v/>
      </c>
      <c r="G10" s="10">
        <f>Inputs!$B$5</f>
        <v/>
      </c>
      <c r="H10" s="6">
        <f>F10*G10</f>
        <v/>
      </c>
      <c r="I10" s="6">
        <f>H10-D10</f>
        <v/>
      </c>
      <c r="J10" s="3" t="n"/>
      <c r="K10" s="6">
        <f>H10 + (1-F10)*IF(J10="",0,J10)</f>
        <v/>
      </c>
      <c r="L10" s="6">
        <f>(1-E10)*D10</f>
        <v/>
      </c>
      <c r="M10" s="9" t="inlineStr"/>
    </row>
    <row r="11">
      <c r="A11" s="8" t="n">
        <v>10</v>
      </c>
      <c r="B11" s="9" t="inlineStr">
        <is>
          <t>Operation 10</t>
        </is>
      </c>
      <c r="C11" s="3">
        <f>Inputs!$B$6/Inputs!$B$7</f>
        <v/>
      </c>
      <c r="D11" s="6">
        <f>D10+C11</f>
        <v/>
      </c>
      <c r="E11" s="3">
        <f>Inputs!$B$8</f>
        <v/>
      </c>
      <c r="F11" s="6">
        <f>F10*E11</f>
        <v/>
      </c>
      <c r="G11" s="10">
        <f>Inputs!$B$5</f>
        <v/>
      </c>
      <c r="H11" s="6">
        <f>F11*G11</f>
        <v/>
      </c>
      <c r="I11" s="6">
        <f>H11-D11</f>
        <v/>
      </c>
      <c r="J11" s="3" t="n"/>
      <c r="K11" s="6">
        <f>H11 + (1-F11)*IF(J11="",0,J11)</f>
        <v/>
      </c>
      <c r="L11" s="6">
        <f>(1-E11)*D11</f>
        <v/>
      </c>
      <c r="M11" s="9" t="inlineStr"/>
    </row>
    <row r="12">
      <c r="A12" s="8" t="n">
        <v>11</v>
      </c>
      <c r="B12" s="9" t="inlineStr">
        <is>
          <t>Operation 11</t>
        </is>
      </c>
      <c r="C12" s="3">
        <f>Inputs!$B$6/Inputs!$B$7</f>
        <v/>
      </c>
      <c r="D12" s="6">
        <f>D11+C12</f>
        <v/>
      </c>
      <c r="E12" s="3">
        <f>Inputs!$B$8</f>
        <v/>
      </c>
      <c r="F12" s="6">
        <f>F11*E12</f>
        <v/>
      </c>
      <c r="G12" s="10">
        <f>Inputs!$B$5</f>
        <v/>
      </c>
      <c r="H12" s="6">
        <f>F12*G12</f>
        <v/>
      </c>
      <c r="I12" s="6">
        <f>H12-D12</f>
        <v/>
      </c>
      <c r="J12" s="3" t="n"/>
      <c r="K12" s="6">
        <f>H12 + (1-F12)*IF(J12="",0,J12)</f>
        <v/>
      </c>
      <c r="L12" s="6">
        <f>(1-E12)*D12</f>
        <v/>
      </c>
      <c r="M12" s="9" t="inlineStr"/>
    </row>
    <row r="13">
      <c r="A13" s="8" t="n">
        <v>12</v>
      </c>
      <c r="B13" s="9" t="inlineStr">
        <is>
          <t>Operation 12</t>
        </is>
      </c>
      <c r="C13" s="3">
        <f>Inputs!$B$6/Inputs!$B$7</f>
        <v/>
      </c>
      <c r="D13" s="6">
        <f>D12+C13</f>
        <v/>
      </c>
      <c r="E13" s="3">
        <f>Inputs!$B$8</f>
        <v/>
      </c>
      <c r="F13" s="6">
        <f>F12*E13</f>
        <v/>
      </c>
      <c r="G13" s="10">
        <f>Inputs!$B$5</f>
        <v/>
      </c>
      <c r="H13" s="6">
        <f>F13*G13</f>
        <v/>
      </c>
      <c r="I13" s="6">
        <f>H13-D13</f>
        <v/>
      </c>
      <c r="J13" s="3" t="n"/>
      <c r="K13" s="6">
        <f>H13 + (1-F13)*IF(J13="",0,J13)</f>
        <v/>
      </c>
      <c r="L13" s="6">
        <f>(1-E13)*D13</f>
        <v/>
      </c>
      <c r="M13" s="9" t="inlineStr"/>
    </row>
    <row r="14">
      <c r="A14" s="8" t="n">
        <v>13</v>
      </c>
      <c r="B14" s="9" t="inlineStr">
        <is>
          <t>Operation 13</t>
        </is>
      </c>
      <c r="C14" s="3">
        <f>Inputs!$B$6/Inputs!$B$7</f>
        <v/>
      </c>
      <c r="D14" s="6">
        <f>D13+C14</f>
        <v/>
      </c>
      <c r="E14" s="3">
        <f>Inputs!$B$8</f>
        <v/>
      </c>
      <c r="F14" s="6">
        <f>F13*E14</f>
        <v/>
      </c>
      <c r="G14" s="10">
        <f>Inputs!$B$5</f>
        <v/>
      </c>
      <c r="H14" s="6">
        <f>F14*G14</f>
        <v/>
      </c>
      <c r="I14" s="6">
        <f>H14-D14</f>
        <v/>
      </c>
      <c r="J14" s="3" t="n"/>
      <c r="K14" s="6">
        <f>H14 + (1-F14)*IF(J14="",0,J14)</f>
        <v/>
      </c>
      <c r="L14" s="6">
        <f>(1-E14)*D14</f>
        <v/>
      </c>
      <c r="M14" s="9" t="inlineStr"/>
    </row>
    <row r="15">
      <c r="A15" s="8" t="n">
        <v>14</v>
      </c>
      <c r="B15" s="9" t="inlineStr">
        <is>
          <t>Operation 14</t>
        </is>
      </c>
      <c r="C15" s="3">
        <f>Inputs!$B$6/Inputs!$B$7</f>
        <v/>
      </c>
      <c r="D15" s="6">
        <f>D14+C15</f>
        <v/>
      </c>
      <c r="E15" s="3">
        <f>Inputs!$B$8</f>
        <v/>
      </c>
      <c r="F15" s="6">
        <f>F14*E15</f>
        <v/>
      </c>
      <c r="G15" s="10">
        <f>Inputs!$B$5</f>
        <v/>
      </c>
      <c r="H15" s="6">
        <f>F15*G15</f>
        <v/>
      </c>
      <c r="I15" s="6">
        <f>H15-D15</f>
        <v/>
      </c>
      <c r="J15" s="3" t="n"/>
      <c r="K15" s="6">
        <f>H15 + (1-F15)*IF(J15="",0,J15)</f>
        <v/>
      </c>
      <c r="L15" s="6">
        <f>(1-E15)*D15</f>
        <v/>
      </c>
      <c r="M15" s="9" t="inlineStr"/>
    </row>
    <row r="16">
      <c r="A16" s="8" t="n">
        <v>15</v>
      </c>
      <c r="B16" s="9" t="inlineStr">
        <is>
          <t>Operation 15</t>
        </is>
      </c>
      <c r="C16" s="3">
        <f>Inputs!$B$6/Inputs!$B$7</f>
        <v/>
      </c>
      <c r="D16" s="6">
        <f>D15+C16</f>
        <v/>
      </c>
      <c r="E16" s="3">
        <f>Inputs!$B$8</f>
        <v/>
      </c>
      <c r="F16" s="6">
        <f>F15*E16</f>
        <v/>
      </c>
      <c r="G16" s="10">
        <f>Inputs!$B$5</f>
        <v/>
      </c>
      <c r="H16" s="6">
        <f>F16*G16</f>
        <v/>
      </c>
      <c r="I16" s="6">
        <f>H16-D16</f>
        <v/>
      </c>
      <c r="J16" s="3" t="n"/>
      <c r="K16" s="6">
        <f>H16 + (1-F16)*IF(J16="",0,J16)</f>
        <v/>
      </c>
      <c r="L16" s="6">
        <f>(1-E16)*D16</f>
        <v/>
      </c>
      <c r="M16" s="9" t="inlineStr"/>
    </row>
    <row r="17">
      <c r="A17" s="8" t="n">
        <v>16</v>
      </c>
      <c r="B17" s="9" t="inlineStr">
        <is>
          <t>Operation 16</t>
        </is>
      </c>
      <c r="C17" s="3">
        <f>Inputs!$B$6/Inputs!$B$7</f>
        <v/>
      </c>
      <c r="D17" s="6">
        <f>D16+C17</f>
        <v/>
      </c>
      <c r="E17" s="3">
        <f>Inputs!$B$8</f>
        <v/>
      </c>
      <c r="F17" s="6">
        <f>F16*E17</f>
        <v/>
      </c>
      <c r="G17" s="10">
        <f>Inputs!$B$5</f>
        <v/>
      </c>
      <c r="H17" s="6">
        <f>F17*G17</f>
        <v/>
      </c>
      <c r="I17" s="6">
        <f>H17-D17</f>
        <v/>
      </c>
      <c r="J17" s="3" t="n"/>
      <c r="K17" s="6">
        <f>H17 + (1-F17)*IF(J17="",0,J17)</f>
        <v/>
      </c>
      <c r="L17" s="6">
        <f>(1-E17)*D17</f>
        <v/>
      </c>
      <c r="M17" s="9" t="inlineStr"/>
    </row>
    <row r="18">
      <c r="A18" s="8" t="n">
        <v>17</v>
      </c>
      <c r="B18" s="9" t="inlineStr">
        <is>
          <t>Operation 17</t>
        </is>
      </c>
      <c r="C18" s="3">
        <f>Inputs!$B$6/Inputs!$B$7</f>
        <v/>
      </c>
      <c r="D18" s="6">
        <f>D17+C18</f>
        <v/>
      </c>
      <c r="E18" s="3">
        <f>Inputs!$B$8</f>
        <v/>
      </c>
      <c r="F18" s="6">
        <f>F17*E18</f>
        <v/>
      </c>
      <c r="G18" s="10">
        <f>Inputs!$B$5</f>
        <v/>
      </c>
      <c r="H18" s="6">
        <f>F18*G18</f>
        <v/>
      </c>
      <c r="I18" s="6">
        <f>H18-D18</f>
        <v/>
      </c>
      <c r="J18" s="3" t="n"/>
      <c r="K18" s="6">
        <f>H18 + (1-F18)*IF(J18="",0,J18)</f>
        <v/>
      </c>
      <c r="L18" s="6">
        <f>(1-E18)*D18</f>
        <v/>
      </c>
      <c r="M18" s="9" t="inlineStr"/>
    </row>
    <row r="19">
      <c r="A19" s="8" t="n">
        <v>18</v>
      </c>
      <c r="B19" s="9" t="inlineStr">
        <is>
          <t>Operation 18</t>
        </is>
      </c>
      <c r="C19" s="3">
        <f>Inputs!$B$6/Inputs!$B$7</f>
        <v/>
      </c>
      <c r="D19" s="6">
        <f>D18+C19</f>
        <v/>
      </c>
      <c r="E19" s="3">
        <f>Inputs!$B$8</f>
        <v/>
      </c>
      <c r="F19" s="6">
        <f>F18*E19</f>
        <v/>
      </c>
      <c r="G19" s="10">
        <f>Inputs!$B$5</f>
        <v/>
      </c>
      <c r="H19" s="6">
        <f>F19*G19</f>
        <v/>
      </c>
      <c r="I19" s="6">
        <f>H19-D19</f>
        <v/>
      </c>
      <c r="J19" s="3" t="n"/>
      <c r="K19" s="6">
        <f>H19 + (1-F19)*IF(J19="",0,J19)</f>
        <v/>
      </c>
      <c r="L19" s="6">
        <f>(1-E19)*D19</f>
        <v/>
      </c>
      <c r="M19" s="9" t="inlineStr"/>
    </row>
    <row r="20">
      <c r="A20" s="8" t="n">
        <v>19</v>
      </c>
      <c r="B20" s="9" t="inlineStr">
        <is>
          <t>Operation 19</t>
        </is>
      </c>
      <c r="C20" s="3">
        <f>Inputs!$B$6/Inputs!$B$7</f>
        <v/>
      </c>
      <c r="D20" s="6">
        <f>D19+C20</f>
        <v/>
      </c>
      <c r="E20" s="3">
        <f>Inputs!$B$8</f>
        <v/>
      </c>
      <c r="F20" s="6">
        <f>F19*E20</f>
        <v/>
      </c>
      <c r="G20" s="10">
        <f>Inputs!$B$5</f>
        <v/>
      </c>
      <c r="H20" s="6">
        <f>F20*G20</f>
        <v/>
      </c>
      <c r="I20" s="6">
        <f>H20-D20</f>
        <v/>
      </c>
      <c r="J20" s="3" t="n"/>
      <c r="K20" s="6">
        <f>H20 + (1-F20)*IF(J20="",0,J20)</f>
        <v/>
      </c>
      <c r="L20" s="6">
        <f>(1-E20)*D20</f>
        <v/>
      </c>
      <c r="M20" s="9" t="inlineStr"/>
    </row>
    <row r="21">
      <c r="A21" s="8" t="n">
        <v>20</v>
      </c>
      <c r="B21" s="9" t="inlineStr">
        <is>
          <t>Operation 20</t>
        </is>
      </c>
      <c r="C21" s="3">
        <f>Inputs!$B$6/Inputs!$B$7</f>
        <v/>
      </c>
      <c r="D21" s="6">
        <f>D20+C21</f>
        <v/>
      </c>
      <c r="E21" s="3">
        <f>Inputs!$B$8</f>
        <v/>
      </c>
      <c r="F21" s="6">
        <f>F20*E21</f>
        <v/>
      </c>
      <c r="G21" s="10">
        <f>Inputs!$B$5</f>
        <v/>
      </c>
      <c r="H21" s="6">
        <f>F21*G21</f>
        <v/>
      </c>
      <c r="I21" s="6">
        <f>H21-D21</f>
        <v/>
      </c>
      <c r="J21" s="3" t="n"/>
      <c r="K21" s="6">
        <f>H21 + (1-F21)*IF(J21="",0,J21)</f>
        <v/>
      </c>
      <c r="L21" s="6">
        <f>(1-E21)*D21</f>
        <v/>
      </c>
      <c r="M21" s="9" t="inlineStr"/>
    </row>
    <row r="22">
      <c r="A22" s="8" t="n">
        <v>21</v>
      </c>
      <c r="B22" s="9" t="inlineStr">
        <is>
          <t>Operation 21</t>
        </is>
      </c>
      <c r="C22" s="3">
        <f>Inputs!$B$6/Inputs!$B$7</f>
        <v/>
      </c>
      <c r="D22" s="6">
        <f>D21+C22</f>
        <v/>
      </c>
      <c r="E22" s="3">
        <f>Inputs!$B$8</f>
        <v/>
      </c>
      <c r="F22" s="6">
        <f>F21*E22</f>
        <v/>
      </c>
      <c r="G22" s="10">
        <f>Inputs!$B$5</f>
        <v/>
      </c>
      <c r="H22" s="6">
        <f>F22*G22</f>
        <v/>
      </c>
      <c r="I22" s="6">
        <f>H22-D22</f>
        <v/>
      </c>
      <c r="J22" s="3" t="n"/>
      <c r="K22" s="6">
        <f>H22 + (1-F22)*IF(J22="",0,J22)</f>
        <v/>
      </c>
      <c r="L22" s="6">
        <f>(1-E22)*D22</f>
        <v/>
      </c>
      <c r="M22" s="9" t="inlineStr"/>
    </row>
    <row r="23">
      <c r="A23" s="8" t="n">
        <v>22</v>
      </c>
      <c r="B23" s="9" t="inlineStr">
        <is>
          <t>Operation 22</t>
        </is>
      </c>
      <c r="C23" s="3">
        <f>Inputs!$B$6/Inputs!$B$7</f>
        <v/>
      </c>
      <c r="D23" s="6">
        <f>D22+C23</f>
        <v/>
      </c>
      <c r="E23" s="3">
        <f>Inputs!$B$8</f>
        <v/>
      </c>
      <c r="F23" s="6">
        <f>F22*E23</f>
        <v/>
      </c>
      <c r="G23" s="10">
        <f>Inputs!$B$5</f>
        <v/>
      </c>
      <c r="H23" s="6">
        <f>F23*G23</f>
        <v/>
      </c>
      <c r="I23" s="6">
        <f>H23-D23</f>
        <v/>
      </c>
      <c r="J23" s="3" t="n"/>
      <c r="K23" s="6">
        <f>H23 + (1-F23)*IF(J23="",0,J23)</f>
        <v/>
      </c>
      <c r="L23" s="6">
        <f>(1-E23)*D23</f>
        <v/>
      </c>
      <c r="M23" s="9" t="inlineStr"/>
    </row>
    <row r="24">
      <c r="A24" s="8" t="n">
        <v>23</v>
      </c>
      <c r="B24" s="9" t="inlineStr">
        <is>
          <t>Operation 23</t>
        </is>
      </c>
      <c r="C24" s="3">
        <f>Inputs!$B$6/Inputs!$B$7</f>
        <v/>
      </c>
      <c r="D24" s="6">
        <f>D23+C24</f>
        <v/>
      </c>
      <c r="E24" s="3">
        <f>Inputs!$B$8</f>
        <v/>
      </c>
      <c r="F24" s="6">
        <f>F23*E24</f>
        <v/>
      </c>
      <c r="G24" s="10">
        <f>Inputs!$B$5</f>
        <v/>
      </c>
      <c r="H24" s="6">
        <f>F24*G24</f>
        <v/>
      </c>
      <c r="I24" s="6">
        <f>H24-D24</f>
        <v/>
      </c>
      <c r="J24" s="3" t="n"/>
      <c r="K24" s="6">
        <f>H24 + (1-F24)*IF(J24="",0,J24)</f>
        <v/>
      </c>
      <c r="L24" s="6">
        <f>(1-E24)*D24</f>
        <v/>
      </c>
      <c r="M24" s="9" t="inlineStr"/>
    </row>
    <row r="25">
      <c r="A25" s="8" t="n">
        <v>24</v>
      </c>
      <c r="B25" s="9" t="inlineStr">
        <is>
          <t>Operation 24</t>
        </is>
      </c>
      <c r="C25" s="3">
        <f>Inputs!$B$6/Inputs!$B$7</f>
        <v/>
      </c>
      <c r="D25" s="6">
        <f>D24+C25</f>
        <v/>
      </c>
      <c r="E25" s="3">
        <f>Inputs!$B$8</f>
        <v/>
      </c>
      <c r="F25" s="6">
        <f>F24*E25</f>
        <v/>
      </c>
      <c r="G25" s="10">
        <f>Inputs!$B$5</f>
        <v/>
      </c>
      <c r="H25" s="6">
        <f>F25*G25</f>
        <v/>
      </c>
      <c r="I25" s="6">
        <f>H25-D25</f>
        <v/>
      </c>
      <c r="J25" s="3" t="n"/>
      <c r="K25" s="6">
        <f>H25 + (1-F25)*IF(J25="",0,J25)</f>
        <v/>
      </c>
      <c r="L25" s="6">
        <f>(1-E25)*D25</f>
        <v/>
      </c>
      <c r="M25" s="9" t="inlineStr"/>
    </row>
    <row r="27">
      <c r="A27" s="11" t="inlineStr">
        <is>
          <t>Summary</t>
        </is>
      </c>
    </row>
    <row r="28">
      <c r="A28" s="2" t="inlineStr">
        <is>
          <t>Final cumulative survival S_final</t>
        </is>
      </c>
      <c r="B28" s="6">
        <f>F25</f>
        <v/>
      </c>
    </row>
    <row r="29">
      <c r="A29" s="2" t="inlineStr">
        <is>
          <t>Expected revenue at release (EV_final)</t>
        </is>
      </c>
      <c r="B29" s="6">
        <f>H25</f>
        <v/>
      </c>
    </row>
    <row r="30">
      <c r="A30" s="2" t="inlineStr">
        <is>
          <t>Expected margin at release (M_final)</t>
        </is>
      </c>
      <c r="B30" s="6">
        <f>I25</f>
        <v/>
      </c>
    </row>
    <row r="31">
      <c r="A31" s="2" t="inlineStr">
        <is>
          <t>Total cumulative cost (C_final)</t>
        </is>
      </c>
      <c r="B31" s="6">
        <f>D25</f>
        <v/>
      </c>
    </row>
  </sheetData>
  <mergeCells count="1">
    <mergeCell ref="A27:D27"/>
  </mergeCells>
  <conditionalFormatting sqref="I2:I25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Charts</t>
        </is>
      </c>
    </row>
    <row r="36">
      <c r="A36" s="4" t="inlineStr">
        <is>
          <t>Interpretation guide:</t>
        </is>
      </c>
    </row>
    <row r="37">
      <c r="A37" s="5" t="inlineStr">
        <is>
          <t>• Where Expected Value crosses above Cumulative Cost is your economic 'break-even gate'.</t>
        </is>
      </c>
    </row>
    <row r="38">
      <c r="A38" s="5" t="inlineStr">
        <is>
          <t>• The exposure bar chart highlights steps where failures are both likely and expensive.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2026-02-10T19:48:40Z</dcterms:created>
  <dcterms:modified xmlns:dcterms="http://purl.org/dc/terms/" xmlns:xsi="http://www.w3.org/2001/XMLSchema-instance" xsi:type="dcterms:W3CDTF">2026-02-10T19:48:40Z</dcterms:modified>
</cp:coreProperties>
</file>